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80" windowWidth="19140" windowHeight="7340" firstSheet="1" activeTab="5"/>
  </bookViews>
  <sheets>
    <sheet name="Лист9" sheetId="9" state="hidden" r:id="rId1"/>
    <sheet name="Лист2" sheetId="19" r:id="rId2"/>
    <sheet name="Лист3" sheetId="20" r:id="rId3"/>
    <sheet name="Лист4" sheetId="21" r:id="rId4"/>
    <sheet name="Лист1" sheetId="1" r:id="rId5"/>
    <sheet name="Работа с макросами" sheetId="2" r:id="rId6"/>
    <sheet name="Исходная таблица" sheetId="18" r:id="rId7"/>
  </sheets>
  <calcPr calcId="145621"/>
</workbook>
</file>

<file path=xl/calcChain.xml><?xml version="1.0" encoding="utf-8"?>
<calcChain xmlns="http://schemas.openxmlformats.org/spreadsheetml/2006/main">
  <c r="E22" i="2" l="1"/>
  <c r="C22" i="18" l="1"/>
  <c r="D17" i="2"/>
  <c r="D31" i="2"/>
</calcChain>
</file>

<file path=xl/sharedStrings.xml><?xml version="1.0" encoding="utf-8"?>
<sst xmlns="http://schemas.openxmlformats.org/spreadsheetml/2006/main" count="99" uniqueCount="81">
  <si>
    <t>Комплектующие офисного ПК бюджета в 20000 руб. (I вариант)</t>
  </si>
  <si>
    <t>Наименование</t>
  </si>
  <si>
    <t>Основные характеристики</t>
  </si>
  <si>
    <t>Обоснование выбора</t>
  </si>
  <si>
    <t>МП Материнская плата Gigabyte GA-H81M-S1</t>
  </si>
  <si>
    <t>Socket 1150, Intel H81, 2xDDR3, 5.1CH, 1000 Мбит/с, USB3.0, D-Sub, mATX, Retail</t>
  </si>
  <si>
    <t>По условию необходимо выбрать недорогую с небольшим форм-фактором МП, которая не обязана поддерживать сокет для установки мощных процессоров. Учитывая, также бюджет, можно утверждать, что наиболее подходящий вариант CPU по цена/производительность – это бюджетные CPU от Intel (Pentium, Celeron). Исходя из вышеописанных причин была выбрана данная МП.</t>
  </si>
  <si>
    <t>Корпус AeroCool Cs-102 Black</t>
  </si>
  <si>
    <t>mATX, Mini-ITX, Mini-Tower, без БП, USB 2.0, USB 3.0, Audio</t>
  </si>
  <si>
    <t>В условии задачи было сказано, что место для установки ПК ограничено. Соответственно, необходимо выбрать корпус относительно маленького форм-фактора. В данном случае, это форм-фактор «Mini-Tower». Также данный корпус поддерживает форм-фактор выбранной материнской платы.</t>
  </si>
  <si>
    <t>Процессор Intel Celeron G1820 OEM</t>
  </si>
  <si>
    <t>Socket 1150, 2-ядерный, 2700 МГц, Haswell, Кэш L2 - 0.5 Мб, Кэш L3 - 2 Мб, Intel HD Graphics, 22 нм, 54 Вт</t>
  </si>
  <si>
    <t>Данный процессор имеет достаточную мощность для выполнения офисных задач. Помимо этого, он имеет встроенное графическое ядро, что вполне достаточно для задач, описанных в условии задачи.</t>
  </si>
  <si>
    <t>Оперативная память 4Gb DDR-III 1600MHz Apacer</t>
  </si>
  <si>
    <t>4096 Мб, DDR-3, 12800 Мб/с, CL9, 1.5 В</t>
  </si>
  <si>
    <t>4 гб ОЗУ – это общепринятый минимальный объем оперативной памяти, позволяющий выполнять офисные задачи и пользоваться интернетом. Частота и модификация данной ОЗУ полностью поддерживается CPU и МП.</t>
  </si>
  <si>
    <t>Жесткий диск 320Gb SATA-III Western Digital Blue</t>
  </si>
  <si>
    <t>Внутренний HDD, 2.5", 320 Гб, SATA-III, 5400 об/мин, кэш - 16 Мб</t>
  </si>
  <si>
    <t>320 гб объема хранимой информации вполне достаточно для офисного ПК, а интерфейс SATA III и 16 мб кеша вкупе с относительной быстрой головкой (5400 об/мин) гарантирует хорошую производительность. Однако вместе с данным диском необходимо прибрести салазки/переходник с 2,5 дюйма форм-фактора на 3,5 дюйма, поскольку корпус не поддерживает установку 2,5 дюймовых дисков. Стоимость салазки ~300 руб.</t>
  </si>
  <si>
    <t>Блок питания 350W ExeGate ATX-AB350</t>
  </si>
  <si>
    <t>Мощность 350 Вт, вентилятор 80x80 мм</t>
  </si>
  <si>
    <t>790 руб.</t>
  </si>
  <si>
    <t>350 ватт мощности вполне достаточно в условии отсутствии таких мощных энергопотребительских компонентов как видеокарта. Помимо этого, МП форм-фактора mATX, CPU Celeron и 2,5 дюймовый диск потребляют относительно мало электроэнергии.</t>
  </si>
  <si>
    <t>Кулер Cooler Master (DP6-9HDSA-0L-GP)</t>
  </si>
  <si>
    <t>Для процессора, Socket 1150, 1151, 1155, 1156, 1x95 мм, 2600 об/мин, алюминий</t>
  </si>
  <si>
    <t>Обычная система охлаждения от зарекомендовавшего себя производителя. Рассеиваемой мощности достаточно для охлаждения вышеприведенного процессора при любых нагрузках.</t>
  </si>
  <si>
    <t>Монитор Acer 19" K192HQLb</t>
  </si>
  <si>
    <t>18.5", широкоформатный, LED, 1366x768, 5 мс, 100000000:1, 90°/65°, VGA, чёрный</t>
  </si>
  <si>
    <t>Поскольку для офисных работой не нужны ни мониторы с быстрым откликом, ни широкоформатные дисплеи, ни особые матрицы, то можно использовать данный монитор с разъемом подключения VGA, который также присутствует на МП, что обеспечивает их совместимость.</t>
  </si>
  <si>
    <t>Клавиатура Gembird KB-8352U-BL Black</t>
  </si>
  <si>
    <t>Клавиатура, USB, цвет: чёрный</t>
  </si>
  <si>
    <t>Обычная мембранная клавиатура, способная выполнять офисные задачи.</t>
  </si>
  <si>
    <t>Мышь Logitech B100 Black (910-003357)</t>
  </si>
  <si>
    <t>Оптическая, проводная, 800 dpi, USB, цвет: чёрный</t>
  </si>
  <si>
    <t>Обычная проводная мышь, способная выполнять офисные задачи.</t>
  </si>
  <si>
    <t>Веб-камера Defender C-2525HD</t>
  </si>
  <si>
    <t>2 млн пикс., 1600x1200, USB 2.0, ручная фокусировка, встроенный микрофон, крепление на мониторе</t>
  </si>
  <si>
    <t>Имеется встроенный микрофон. Вкупе с функциями камерами данная веб-камера способна выполнять любые функции по общению с клиентами.</t>
  </si>
  <si>
    <t>Наушники CBR Human Friends Metallic Black</t>
  </si>
  <si>
    <t>вставные наушники ("затычки"), импеданс 32 Ом, диаметр мембраны 10 мм, разъём mini jack 3.5 mm, длина провода 1 м, сменные амбушюры</t>
  </si>
  <si>
    <t>Обычные наушники. Вполне достаточно для приема звуковой информации.</t>
  </si>
  <si>
    <t>Стоимость (руб.)</t>
  </si>
  <si>
    <t>Итого (руб.):</t>
  </si>
  <si>
    <t>Количество</t>
  </si>
  <si>
    <t>Итого цена (руб.):</t>
  </si>
  <si>
    <t>Итого количество (ед.):</t>
  </si>
  <si>
    <t>Вид товара</t>
  </si>
  <si>
    <t>Производитель</t>
  </si>
  <si>
    <t>Наименование: Acer 19" K192HQLb. 18.5", широкоформатный, LED, 1366x768, 5 мс, 100000000:1, 90°/65°, VGA, чёрный</t>
  </si>
  <si>
    <t>Acer</t>
  </si>
  <si>
    <t>Наименование: Intel Celeron G1820 OEM. Socket 1150, 2-ядерный, 2700 МГц, Haswell, Кэш L2 - 0.5 Мб, Кэш L3 - 2 Мб, Intel HD Graphics, 22 нм, 54 Вт</t>
  </si>
  <si>
    <t>Intel</t>
  </si>
  <si>
    <t>Наименование: Gigabyte GA-H81M-S1. Socket 1150, Intel H81, 2xDDR3, 5.1CH, 1000 Мбит/с, USB3.0, D-Sub, mATX, Retail</t>
  </si>
  <si>
    <t xml:space="preserve"> Gigabyte </t>
  </si>
  <si>
    <t>Наименование: 320Gb SATA-III Western Digital Blue. Внутренний HDD, 2.5", 320 Гб, SATA-III, 5400 об/мин, кэш - 16 Мб</t>
  </si>
  <si>
    <t>Western Digital</t>
  </si>
  <si>
    <t>Наименование: AeroCool Cs-102 Black. mATX, Mini-ITX, Mini-Tower, без БП, USB 2.0, USB 3.0, Audio</t>
  </si>
  <si>
    <t xml:space="preserve">AeroCool </t>
  </si>
  <si>
    <t>Наименование: 4Gb DDR-III 1600MHz Apacer. 4096 Мб, DDR-3, 12800 Мб/с, CL9, 1.5 В</t>
  </si>
  <si>
    <t xml:space="preserve"> Apacer</t>
  </si>
  <si>
    <t>Наименование: Defender C-2525HD. 2 млн пикс., 1600x1200, USB 2.0, ручная фокусировка, встроенный микрофон, крепление на мониторе</t>
  </si>
  <si>
    <t>Defender</t>
  </si>
  <si>
    <t>Наименование: Cooler Master (DP6-9HDSA-0L-GP). Для процессора, Socket 1150, 1151, 1155, 1156, 1x95 мм, 2600 об/мин, алюминий</t>
  </si>
  <si>
    <t>Cooler Master</t>
  </si>
  <si>
    <t>Наименование: Logitech B100 Black (910-003357). Оптическая, проводная, 800 dpi, USB, цвет: чёрный</t>
  </si>
  <si>
    <t xml:space="preserve">Logitech </t>
  </si>
  <si>
    <t>Наименование: Gembird KB-8352U-BL Black. Клавиатура, USB, цвет: чёрный</t>
  </si>
  <si>
    <t>Gembird</t>
  </si>
  <si>
    <t>Наименование: CBR Human Friends Metallic Black. Вставные наушники ("затычки"), импеданс 32 Ом, диаметр мембраны 10 мм, разъём mini jack 3.5 mm, длина провода 1 м, сменные амбушюры</t>
  </si>
  <si>
    <t>CBR</t>
  </si>
  <si>
    <t>Наушники</t>
  </si>
  <si>
    <t>Клавиатура</t>
  </si>
  <si>
    <t>Мышь</t>
  </si>
  <si>
    <t>Микрофон</t>
  </si>
  <si>
    <t>ОЗУ</t>
  </si>
  <si>
    <t>Корпус</t>
  </si>
  <si>
    <t>HDD</t>
  </si>
  <si>
    <t>МП</t>
  </si>
  <si>
    <t>ЦПУ</t>
  </si>
  <si>
    <t>Монитор</t>
  </si>
  <si>
    <t>Кулер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</si>
</sst>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4"/>
      <color rgb="FF000000"/>
      <name val="Times New Roman"/>
      <family val="1"/>
      <charset val="204"/>
    </font>
    <font>
      <b/>
      <sz val="14"/>
      <color rgb="FF000000"/>
      <name val="Times New Roman"/>
      <family val="1"/>
      <charset val="204"/>
    </font>
    <font>
      <b/>
      <sz val="14"/>
      <color rgb="FF000000"/>
      <name val="Times New Roman"/>
    </font>
    <font>
      <sz val="14"/>
      <color rgb="FF000000"/>
      <name val="Times New Roman"/>
    </font>
  </fonts>
  <fills count="1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C3400"/>
        <bgColor indexed="64"/>
      </patternFill>
    </fill>
    <fill>
      <patternFill patternType="solid">
        <fgColor rgb="FF213000"/>
        <bgColor indexed="64"/>
      </patternFill>
    </fill>
    <fill>
      <patternFill patternType="solid">
        <fgColor rgb="FFD50000"/>
        <bgColor indexed="64"/>
      </patternFill>
    </fill>
    <fill>
      <patternFill patternType="solid">
        <fgColor rgb="FF1F0200"/>
        <bgColor indexed="64"/>
      </patternFill>
    </fill>
    <fill>
      <patternFill patternType="solid">
        <fgColor rgb="FF501500"/>
        <bgColor indexed="64"/>
      </patternFill>
    </fill>
    <fill>
      <patternFill patternType="solid">
        <fgColor rgb="FF4B0800"/>
        <bgColor indexed="64"/>
      </patternFill>
    </fill>
    <fill>
      <patternFill patternType="solid">
        <fgColor rgb="FF2D6400"/>
        <bgColor indexed="64"/>
      </patternFill>
    </fill>
    <fill>
      <patternFill patternType="solid">
        <fgColor rgb="FF76CC00"/>
        <bgColor indexed="64"/>
      </patternFill>
    </fill>
    <fill>
      <patternFill patternType="solid">
        <fgColor rgb="FFD20400"/>
        <bgColor indexed="64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Fill="1"/>
    <xf numFmtId="0" fontId="3" fillId="0" borderId="6" xfId="0" applyFont="1" applyBorder="1" applyAlignment="1">
      <alignment horizontal="justify" vertical="center" wrapText="1"/>
    </xf>
    <xf numFmtId="0" fontId="2" fillId="0" borderId="5" xfId="0" applyFont="1" applyBorder="1" applyAlignment="1">
      <alignment horizontal="justify" vertical="center" wrapText="1"/>
    </xf>
    <xf numFmtId="0" fontId="2" fillId="0" borderId="6" xfId="0" applyFont="1" applyBorder="1" applyAlignment="1">
      <alignment horizontal="justify" vertical="center" wrapText="1"/>
    </xf>
    <xf numFmtId="0" fontId="2" fillId="0" borderId="9" xfId="0" applyFont="1" applyBorder="1" applyAlignment="1">
      <alignment horizontal="justify" vertical="center" wrapText="1"/>
    </xf>
    <xf numFmtId="0" fontId="2" fillId="0" borderId="4" xfId="0" applyFont="1" applyBorder="1" applyAlignment="1">
      <alignment horizontal="justify" vertical="center" wrapText="1"/>
    </xf>
    <xf numFmtId="0" fontId="3" fillId="0" borderId="1" xfId="0" applyFont="1" applyBorder="1" applyAlignment="1">
      <alignment horizontal="justify" vertical="center" wrapText="1"/>
    </xf>
    <xf numFmtId="0" fontId="2" fillId="0" borderId="10" xfId="0" applyFont="1" applyBorder="1" applyAlignment="1">
      <alignment horizontal="justify" vertical="center" wrapText="1"/>
    </xf>
    <xf numFmtId="0" fontId="3" fillId="0" borderId="8" xfId="0" applyFont="1" applyBorder="1" applyAlignment="1">
      <alignment horizontal="justify" vertical="center" wrapText="1"/>
    </xf>
    <xf numFmtId="0" fontId="2" fillId="0" borderId="8" xfId="0" applyFont="1" applyBorder="1" applyAlignment="1">
      <alignment horizontal="justify" vertical="center" wrapText="1"/>
    </xf>
    <xf numFmtId="0" fontId="2" fillId="0" borderId="11" xfId="0" applyFont="1" applyBorder="1" applyAlignment="1">
      <alignment horizontal="justify" vertical="center" wrapText="1"/>
    </xf>
    <xf numFmtId="0" fontId="2" fillId="0" borderId="7" xfId="0" applyFont="1" applyBorder="1" applyAlignment="1">
      <alignment horizontal="justify" vertical="center" wrapText="1"/>
    </xf>
    <xf numFmtId="0" fontId="2" fillId="0" borderId="3" xfId="0" applyFont="1" applyBorder="1" applyAlignment="1">
      <alignment horizontal="justify" vertical="center" wrapText="1"/>
    </xf>
    <xf numFmtId="0" fontId="2" fillId="0" borderId="12" xfId="0" applyFont="1" applyBorder="1" applyAlignment="1">
      <alignment horizontal="justify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justify" vertical="center" wrapText="1"/>
    </xf>
    <xf numFmtId="0" fontId="2" fillId="0" borderId="1" xfId="0" applyFont="1" applyBorder="1" applyAlignment="1">
      <alignment horizontal="justify" vertical="center" wrapText="1"/>
    </xf>
    <xf numFmtId="0" fontId="2" fillId="0" borderId="14" xfId="0" applyFont="1" applyBorder="1" applyAlignment="1">
      <alignment horizontal="justify" vertical="center" wrapText="1"/>
    </xf>
    <xf numFmtId="0" fontId="5" fillId="0" borderId="14" xfId="0" applyFont="1" applyBorder="1" applyAlignment="1">
      <alignment horizontal="justify" vertical="center" wrapText="1"/>
    </xf>
    <xf numFmtId="0" fontId="3" fillId="0" borderId="17" xfId="0" applyFont="1" applyBorder="1" applyAlignment="1">
      <alignment vertical="center" wrapText="1"/>
    </xf>
    <xf numFmtId="0" fontId="5" fillId="0" borderId="16" xfId="0" applyFont="1" applyBorder="1" applyAlignment="1">
      <alignment horizontal="justify" vertical="center"/>
    </xf>
    <xf numFmtId="0" fontId="3" fillId="0" borderId="17" xfId="0" applyFont="1" applyBorder="1" applyAlignment="1">
      <alignment vertical="center"/>
    </xf>
    <xf numFmtId="0" fontId="2" fillId="0" borderId="15" xfId="0" applyFont="1" applyBorder="1" applyAlignment="1">
      <alignment horizontal="justify" vertical="center" wrapText="1"/>
    </xf>
    <xf numFmtId="0" fontId="5" fillId="0" borderId="17" xfId="0" applyFont="1" applyBorder="1" applyAlignment="1">
      <alignment horizontal="justify" vertical="center" wrapText="1"/>
    </xf>
    <xf numFmtId="0" fontId="2" fillId="0" borderId="18" xfId="0" applyFont="1" applyBorder="1" applyAlignment="1">
      <alignment horizontal="justify" vertical="center" wrapText="1"/>
    </xf>
    <xf numFmtId="0" fontId="2" fillId="0" borderId="19" xfId="0" applyFont="1" applyBorder="1" applyAlignment="1">
      <alignment horizontal="justify" vertical="center" wrapText="1"/>
    </xf>
    <xf numFmtId="0" fontId="2" fillId="0" borderId="9" xfId="0" applyFont="1" applyFill="1" applyBorder="1" applyAlignment="1">
      <alignment horizontal="justify" vertical="center" wrapText="1"/>
    </xf>
    <xf numFmtId="0" fontId="2" fillId="9" borderId="9" xfId="0" applyFont="1" applyFill="1" applyBorder="1" applyAlignment="1">
      <alignment horizontal="justify" vertical="center" wrapText="1"/>
    </xf>
    <xf numFmtId="0" fontId="2" fillId="11" borderId="9" xfId="0" applyFont="1" applyFill="1" applyBorder="1" applyAlignment="1">
      <alignment horizontal="justify" vertical="center" wrapText="1"/>
    </xf>
    <xf numFmtId="0" fontId="2" fillId="0" borderId="5" xfId="0" applyFont="1" applyFill="1" applyBorder="1" applyAlignment="1">
      <alignment horizontal="justify" vertical="center" wrapText="1"/>
    </xf>
    <xf numFmtId="0" fontId="0" fillId="3" borderId="0" xfId="0" applyFill="1"/>
    <xf numFmtId="0" fontId="1" fillId="13" borderId="0" xfId="0" applyFont="1" applyFill="1"/>
    <xf numFmtId="0" fontId="0" fillId="13" borderId="0" xfId="0" applyFill="1"/>
    <xf numFmtId="0" fontId="2" fillId="10" borderId="4" xfId="0" applyFont="1" applyFill="1" applyBorder="1" applyAlignment="1">
      <alignment horizontal="justify" vertical="center" wrapText="1"/>
    </xf>
    <xf numFmtId="0" fontId="2" fillId="12" borderId="6" xfId="0" applyFont="1" applyFill="1" applyBorder="1" applyAlignment="1">
      <alignment horizontal="justify" vertical="center" wrapText="1"/>
    </xf>
    <xf numFmtId="0" fontId="2" fillId="7" borderId="6" xfId="0" applyFont="1" applyFill="1" applyBorder="1" applyAlignment="1">
      <alignment horizontal="justify" vertical="center" wrapText="1"/>
    </xf>
    <xf numFmtId="0" fontId="2" fillId="5" borderId="9" xfId="0" applyFont="1" applyFill="1" applyBorder="1" applyAlignment="1">
      <alignment horizontal="justify" vertical="center" wrapText="1"/>
    </xf>
    <xf numFmtId="0" fontId="2" fillId="12" borderId="9" xfId="0" applyFont="1" applyFill="1" applyBorder="1" applyAlignment="1">
      <alignment horizontal="justify" vertical="center" wrapText="1"/>
    </xf>
    <xf numFmtId="0" fontId="2" fillId="6" borderId="4" xfId="0" applyFont="1" applyFill="1" applyBorder="1" applyAlignment="1">
      <alignment horizontal="justify" vertical="center" wrapText="1"/>
    </xf>
    <xf numFmtId="0" fontId="2" fillId="4" borderId="9" xfId="0" applyFont="1" applyFill="1" applyBorder="1" applyAlignment="1">
      <alignment horizontal="justify" vertical="center" wrapText="1"/>
    </xf>
    <xf numFmtId="0" fontId="2" fillId="8" borderId="9" xfId="0" applyFont="1" applyFill="1" applyBorder="1" applyAlignment="1">
      <alignment horizontal="justify" vertical="center" wrapText="1"/>
    </xf>
    <xf numFmtId="0" fontId="2" fillId="2" borderId="10" xfId="0" applyFont="1" applyFill="1" applyBorder="1" applyAlignment="1">
      <alignment horizontal="justify" vertical="center" wrapText="1"/>
    </xf>
  </cellXfs>
  <cellStyles count="1">
    <cellStyle name="Обычный" xfId="0" builtinId="0"/>
  </cellStyles>
  <dxfs count="13"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scheme val="none"/>
      </font>
      <alignment horizontal="justify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scheme val="none"/>
      </font>
      <alignment horizontal="justify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scheme val="none"/>
      </font>
      <alignment horizontal="justify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scheme val="none"/>
      </font>
      <alignment horizontal="justify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scheme val="none"/>
      </font>
      <alignment horizontal="justify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Таблица2" displayName="Таблица2" ref="A2:F22" totalsRowShown="0" headerRowDxfId="12" headerRowBorderDxfId="11" tableBorderDxfId="10">
  <autoFilter ref="A2:F22"/>
  <sortState ref="A3:F22">
    <sortCondition ref="A2:A22"/>
  </sortState>
  <tableColumns count="6">
    <tableColumn id="1" name="Производитель" dataDxfId="5"/>
    <tableColumn id="2" name="Основные характеристики" dataDxfId="4"/>
    <tableColumn id="3" name="Стоимость (руб.)" dataDxfId="3"/>
    <tableColumn id="4" name="Обоснование выбора" dataDxfId="2"/>
    <tableColumn id="5" name="Количество" dataDxfId="1"/>
    <tableColumn id="6" name="Вид товар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2:D21" totalsRowShown="0" headerRowDxfId="9" headerRowBorderDxfId="8" tableBorderDxfId="7">
  <autoFilter ref="A2:D21"/>
  <tableColumns count="4">
    <tableColumn id="1" name="Наименование" dataDxfId="6"/>
    <tableColumn id="2" name="Основные характеристики"/>
    <tableColumn id="3" name="Стоимость (руб.)"/>
    <tableColumn id="4" name="Обоснование выбор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I8"/>
  <sheetViews>
    <sheetView workbookViewId="0">
      <selection activeCell="M8" sqref="M8"/>
    </sheetView>
  </sheetViews>
  <sheetFormatPr defaultRowHeight="14.5" x14ac:dyDescent="0.35"/>
  <sheetData>
    <row r="8" spans="9:9" x14ac:dyDescent="0.35">
      <c r="I8" s="3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L22"/>
  <sheetViews>
    <sheetView zoomScaleNormal="100" workbookViewId="0">
      <selection activeCell="I8" sqref="I8"/>
    </sheetView>
  </sheetViews>
  <sheetFormatPr defaultRowHeight="14.5" x14ac:dyDescent="0.35"/>
  <cols>
    <col min="1" max="4" width="8.7265625" customWidth="1"/>
  </cols>
  <sheetData>
    <row r="2" spans="2:12" x14ac:dyDescent="0.35">
      <c r="B2" s="1"/>
    </row>
    <row r="3" spans="2:12" x14ac:dyDescent="0.35">
      <c r="B3" s="1"/>
    </row>
    <row r="4" spans="2:12" x14ac:dyDescent="0.35">
      <c r="B4" s="37"/>
      <c r="C4" s="1"/>
      <c r="D4" s="1"/>
      <c r="E4" s="1"/>
      <c r="F4" s="1"/>
      <c r="G4" s="1"/>
      <c r="H4" s="1"/>
      <c r="I4" s="1"/>
      <c r="J4" s="1"/>
      <c r="K4" s="1"/>
      <c r="L4" s="1"/>
    </row>
    <row r="5" spans="2:12" x14ac:dyDescent="0.35"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2:12" ht="14.5" customHeight="1" x14ac:dyDescent="0.35">
      <c r="B6" s="37"/>
      <c r="C6" s="1"/>
      <c r="D6" s="1"/>
      <c r="E6" s="1"/>
      <c r="F6" s="1"/>
      <c r="G6" s="1"/>
      <c r="H6" s="1"/>
      <c r="I6" s="1"/>
      <c r="J6" s="1"/>
      <c r="K6" s="1"/>
      <c r="L6" s="1"/>
    </row>
    <row r="7" spans="2:12" ht="15" customHeight="1" x14ac:dyDescent="0.35">
      <c r="B7" s="1"/>
      <c r="C7" s="1"/>
      <c r="D7" s="1"/>
      <c r="E7" s="1"/>
      <c r="F7" s="1"/>
      <c r="G7" s="1"/>
      <c r="H7" s="1"/>
      <c r="I7" s="1"/>
      <c r="J7" s="1"/>
      <c r="K7" s="38"/>
      <c r="L7" s="1"/>
    </row>
    <row r="8" spans="2:12" ht="14.5" customHeight="1" x14ac:dyDescent="0.35">
      <c r="B8" s="37"/>
      <c r="C8" s="1"/>
      <c r="D8" s="1"/>
      <c r="E8" s="1"/>
      <c r="F8" s="1"/>
      <c r="G8" s="1"/>
      <c r="H8" s="1"/>
      <c r="I8" s="39"/>
      <c r="J8" s="1"/>
      <c r="K8" s="1"/>
      <c r="L8" s="1"/>
    </row>
    <row r="9" spans="2:12" ht="15" customHeight="1" x14ac:dyDescent="0.35"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2:12" ht="14.5" customHeight="1" x14ac:dyDescent="0.35">
      <c r="B10" s="37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2:12" ht="15" customHeight="1" x14ac:dyDescent="0.35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2:12" ht="14.5" customHeight="1" x14ac:dyDescent="0.35">
      <c r="B12" s="37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2:12" ht="15" customHeight="1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2:12" x14ac:dyDescent="0.35">
      <c r="B14" s="37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2:12" ht="14.5" customHeight="1" x14ac:dyDescent="0.3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2:12" ht="15" customHeight="1" x14ac:dyDescent="0.35">
      <c r="B16" s="37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2:12" ht="14.5" customHeight="1" x14ac:dyDescent="0.3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2:12" ht="15" customHeight="1" x14ac:dyDescent="0.35">
      <c r="B18" s="37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2:12" ht="14.5" customHeight="1" x14ac:dyDescent="0.35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2:12" ht="15" customHeight="1" x14ac:dyDescent="0.35">
      <c r="B20" s="37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2:12" x14ac:dyDescent="0.35">
      <c r="B21" s="1"/>
    </row>
    <row r="22" spans="2:12" ht="18" customHeight="1" x14ac:dyDescent="0.35">
      <c r="B22" s="1"/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31"/>
  <sheetViews>
    <sheetView tabSelected="1" zoomScale="50" zoomScaleNormal="50" workbookViewId="0">
      <selection activeCell="D6" sqref="D6"/>
    </sheetView>
  </sheetViews>
  <sheetFormatPr defaultRowHeight="14.5" x14ac:dyDescent="0.35"/>
  <cols>
    <col min="1" max="1" width="20.7265625" customWidth="1"/>
    <col min="2" max="2" width="38.7265625" customWidth="1"/>
    <col min="3" max="3" width="64.7265625" customWidth="1"/>
    <col min="4" max="4" width="104.6328125" customWidth="1"/>
    <col min="5" max="5" width="17.90625" customWidth="1"/>
    <col min="6" max="6" width="28.54296875" customWidth="1"/>
  </cols>
  <sheetData>
    <row r="1" spans="1:9" ht="52.5" customHeight="1" x14ac:dyDescent="0.35">
      <c r="A1" s="20" t="s">
        <v>0</v>
      </c>
      <c r="B1" s="21"/>
      <c r="C1" s="21"/>
      <c r="D1" s="21"/>
      <c r="E1" s="21"/>
      <c r="F1" s="21"/>
    </row>
    <row r="2" spans="1:9" ht="18" thickBot="1" x14ac:dyDescent="0.4">
      <c r="A2" s="2" t="s">
        <v>47</v>
      </c>
      <c r="B2" s="2" t="s">
        <v>2</v>
      </c>
      <c r="C2" s="2" t="s">
        <v>41</v>
      </c>
      <c r="D2" s="9" t="s">
        <v>3</v>
      </c>
      <c r="E2" s="22" t="s">
        <v>43</v>
      </c>
      <c r="F2" s="22" t="s">
        <v>46</v>
      </c>
    </row>
    <row r="3" spans="1:9" ht="125.5" customHeight="1" thickBot="1" x14ac:dyDescent="0.4">
      <c r="A3" s="23" t="s">
        <v>59</v>
      </c>
      <c r="B3" s="6" t="s">
        <v>58</v>
      </c>
      <c r="C3" s="40">
        <v>1470</v>
      </c>
      <c r="D3" s="13" t="s">
        <v>15</v>
      </c>
      <c r="E3" s="23">
        <v>1</v>
      </c>
      <c r="F3" s="32" t="s">
        <v>74</v>
      </c>
    </row>
    <row r="4" spans="1:9" ht="139.5" customHeight="1" thickBot="1" x14ac:dyDescent="0.4">
      <c r="A4" s="3" t="s">
        <v>53</v>
      </c>
      <c r="B4" s="4" t="s">
        <v>52</v>
      </c>
      <c r="C4" s="41">
        <v>3380</v>
      </c>
      <c r="D4" s="10" t="s">
        <v>6</v>
      </c>
      <c r="E4" s="23">
        <v>1</v>
      </c>
      <c r="F4" s="31" t="s">
        <v>77</v>
      </c>
    </row>
    <row r="5" spans="1:9" ht="110.5" customHeight="1" thickBot="1" x14ac:dyDescent="0.4">
      <c r="A5" s="3" t="s">
        <v>49</v>
      </c>
      <c r="B5" s="4" t="s">
        <v>48</v>
      </c>
      <c r="C5" s="42">
        <v>4520</v>
      </c>
      <c r="D5" s="10" t="s">
        <v>28</v>
      </c>
      <c r="E5" s="23">
        <v>1</v>
      </c>
      <c r="F5" s="31" t="s">
        <v>79</v>
      </c>
    </row>
    <row r="6" spans="1:9" ht="169.5" customHeight="1" thickBot="1" x14ac:dyDescent="0.4">
      <c r="A6" s="5" t="s">
        <v>57</v>
      </c>
      <c r="B6" s="5" t="s">
        <v>56</v>
      </c>
      <c r="C6" s="43">
        <v>1540</v>
      </c>
      <c r="D6" s="11" t="s">
        <v>9</v>
      </c>
      <c r="E6" s="23">
        <v>1</v>
      </c>
      <c r="F6" s="31" t="s">
        <v>75</v>
      </c>
    </row>
    <row r="7" spans="1:9" ht="18.5" hidden="1" thickBot="1" x14ac:dyDescent="0.4">
      <c r="A7" s="3"/>
      <c r="B7" s="3"/>
      <c r="C7" s="36"/>
      <c r="D7" s="12"/>
      <c r="E7" s="24"/>
      <c r="F7" s="29"/>
    </row>
    <row r="8" spans="1:9" ht="109" customHeight="1" thickBot="1" x14ac:dyDescent="0.4">
      <c r="A8" s="5" t="s">
        <v>69</v>
      </c>
      <c r="B8" s="5" t="s">
        <v>68</v>
      </c>
      <c r="C8" s="34">
        <v>130</v>
      </c>
      <c r="D8" s="11" t="s">
        <v>40</v>
      </c>
      <c r="E8" s="23">
        <v>1</v>
      </c>
      <c r="F8" s="31" t="s">
        <v>70</v>
      </c>
      <c r="I8" s="1"/>
    </row>
    <row r="9" spans="1:9" ht="18.5" hidden="1" thickBot="1" x14ac:dyDescent="0.4">
      <c r="A9" s="3"/>
      <c r="B9" s="3"/>
      <c r="C9" s="36"/>
      <c r="D9" s="12"/>
      <c r="E9" s="24"/>
      <c r="F9" s="29"/>
    </row>
    <row r="10" spans="1:9" ht="409.5" hidden="1" customHeight="1" thickBot="1" x14ac:dyDescent="0.4">
      <c r="A10" s="5" t="s">
        <v>19</v>
      </c>
      <c r="B10" s="5" t="s">
        <v>20</v>
      </c>
      <c r="C10" s="33" t="s">
        <v>21</v>
      </c>
      <c r="D10" s="11" t="s">
        <v>22</v>
      </c>
      <c r="E10" s="24"/>
      <c r="F10" s="29"/>
    </row>
    <row r="11" spans="1:9" ht="18.5" hidden="1" thickBot="1" x14ac:dyDescent="0.4">
      <c r="A11" s="3"/>
      <c r="B11" s="3"/>
      <c r="C11" s="36"/>
      <c r="D11" s="12"/>
      <c r="E11" s="24"/>
      <c r="F11" s="29"/>
    </row>
    <row r="12" spans="1:9" ht="213" customHeight="1" thickBot="1" x14ac:dyDescent="0.4">
      <c r="A12" s="5" t="s">
        <v>63</v>
      </c>
      <c r="B12" s="5" t="s">
        <v>62</v>
      </c>
      <c r="C12" s="44">
        <v>540</v>
      </c>
      <c r="D12" s="11" t="s">
        <v>25</v>
      </c>
      <c r="E12" s="23">
        <v>1</v>
      </c>
      <c r="F12" s="31" t="s">
        <v>80</v>
      </c>
    </row>
    <row r="13" spans="1:9" ht="18.5" hidden="1" thickBot="1" x14ac:dyDescent="0.4">
      <c r="A13" s="3"/>
      <c r="B13" s="3"/>
      <c r="C13" s="36"/>
      <c r="D13" s="12"/>
      <c r="E13" s="24"/>
      <c r="F13" s="29"/>
    </row>
    <row r="14" spans="1:9" ht="186" customHeight="1" thickBot="1" x14ac:dyDescent="0.4">
      <c r="A14" s="23" t="s">
        <v>61</v>
      </c>
      <c r="B14" s="6" t="s">
        <v>60</v>
      </c>
      <c r="C14" s="45">
        <v>570</v>
      </c>
      <c r="D14" s="13" t="s">
        <v>37</v>
      </c>
      <c r="E14" s="23">
        <v>1</v>
      </c>
      <c r="F14" s="31" t="s">
        <v>73</v>
      </c>
    </row>
    <row r="15" spans="1:9" ht="119" customHeight="1" thickBot="1" x14ac:dyDescent="0.4">
      <c r="A15" s="5" t="s">
        <v>67</v>
      </c>
      <c r="B15" s="5" t="s">
        <v>66</v>
      </c>
      <c r="C15" s="46">
        <v>390</v>
      </c>
      <c r="D15" s="11" t="s">
        <v>31</v>
      </c>
      <c r="E15" s="23">
        <v>1</v>
      </c>
      <c r="F15" s="31" t="s">
        <v>71</v>
      </c>
    </row>
    <row r="16" spans="1:9" ht="18.5" hidden="1" thickBot="1" x14ac:dyDescent="0.4">
      <c r="A16" s="3"/>
      <c r="B16" s="3"/>
      <c r="C16" s="36"/>
      <c r="D16" s="12"/>
      <c r="E16" s="24"/>
      <c r="F16" s="29"/>
    </row>
    <row r="17" spans="1:6" ht="174.5" customHeight="1" thickBot="1" x14ac:dyDescent="0.4">
      <c r="A17" s="5" t="s">
        <v>51</v>
      </c>
      <c r="B17" s="5" t="s">
        <v>50</v>
      </c>
      <c r="C17" s="35">
        <v>3760</v>
      </c>
      <c r="D17" s="11">
        <f ca="1">SUM(D16:D1048574)</f>
        <v>0</v>
      </c>
      <c r="E17" s="23">
        <v>1</v>
      </c>
      <c r="F17" s="31" t="s">
        <v>78</v>
      </c>
    </row>
    <row r="18" spans="1:6" ht="18.5" hidden="1" thickBot="1" x14ac:dyDescent="0.4">
      <c r="A18" s="3"/>
      <c r="B18" s="3"/>
      <c r="C18" s="36"/>
      <c r="D18" s="12"/>
      <c r="E18" s="24"/>
      <c r="F18" s="29"/>
    </row>
    <row r="19" spans="1:6" ht="200.5" customHeight="1" thickBot="1" x14ac:dyDescent="0.4">
      <c r="A19" s="5" t="s">
        <v>65</v>
      </c>
      <c r="B19" s="5" t="s">
        <v>64</v>
      </c>
      <c r="C19" s="47">
        <v>400</v>
      </c>
      <c r="D19" s="11" t="s">
        <v>34</v>
      </c>
      <c r="E19" s="23">
        <v>1</v>
      </c>
      <c r="F19" s="31" t="s">
        <v>72</v>
      </c>
    </row>
    <row r="20" spans="1:6" ht="18.5" hidden="1" thickBot="1" x14ac:dyDescent="0.4">
      <c r="A20" s="3"/>
      <c r="B20" s="3"/>
      <c r="C20" s="36"/>
      <c r="D20" s="12"/>
      <c r="E20" s="24"/>
      <c r="F20" s="29"/>
    </row>
    <row r="21" spans="1:6" ht="126.5" customHeight="1" thickBot="1" x14ac:dyDescent="0.4">
      <c r="A21" s="5" t="s">
        <v>55</v>
      </c>
      <c r="B21" s="8" t="s">
        <v>54</v>
      </c>
      <c r="C21" s="48">
        <v>2700</v>
      </c>
      <c r="D21" s="14" t="s">
        <v>18</v>
      </c>
      <c r="E21" s="23">
        <v>1</v>
      </c>
      <c r="F21" s="31" t="s">
        <v>76</v>
      </c>
    </row>
    <row r="22" spans="1:6" ht="35" customHeight="1" x14ac:dyDescent="0.35">
      <c r="A22" s="27"/>
      <c r="B22" s="28" t="s">
        <v>44</v>
      </c>
      <c r="C22" s="26"/>
      <c r="D22" s="26" t="s">
        <v>45</v>
      </c>
      <c r="E22" s="25">
        <f>SUM(E3:E21)</f>
        <v>11</v>
      </c>
      <c r="F22" s="30"/>
    </row>
    <row r="31" spans="1:6" x14ac:dyDescent="0.35">
      <c r="D31">
        <f ca="1">SUM(D12:D30)</f>
        <v>0</v>
      </c>
    </row>
  </sheetData>
  <mergeCells count="1">
    <mergeCell ref="A1:F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22"/>
  <sheetViews>
    <sheetView zoomScale="40" zoomScaleNormal="40" workbookViewId="0">
      <selection activeCell="C23" sqref="C23"/>
    </sheetView>
  </sheetViews>
  <sheetFormatPr defaultRowHeight="14.5" x14ac:dyDescent="0.35"/>
  <cols>
    <col min="1" max="1" width="20.7265625" customWidth="1"/>
    <col min="2" max="2" width="38.7265625" customWidth="1"/>
    <col min="3" max="3" width="64.7265625" customWidth="1"/>
    <col min="4" max="4" width="104.6328125" customWidth="1"/>
  </cols>
  <sheetData>
    <row r="1" spans="1:4" ht="52.5" customHeight="1" x14ac:dyDescent="0.35">
      <c r="A1" s="17" t="s">
        <v>0</v>
      </c>
      <c r="B1" s="18"/>
      <c r="C1" s="18"/>
      <c r="D1" s="19"/>
    </row>
    <row r="2" spans="1:4" ht="18" thickBot="1" x14ac:dyDescent="0.4">
      <c r="A2" s="2" t="s">
        <v>1</v>
      </c>
      <c r="B2" s="2" t="s">
        <v>2</v>
      </c>
      <c r="C2" s="2" t="s">
        <v>41</v>
      </c>
      <c r="D2" s="9" t="s">
        <v>3</v>
      </c>
    </row>
    <row r="3" spans="1:4" ht="125.5" customHeight="1" thickBot="1" x14ac:dyDescent="0.4">
      <c r="A3" s="4" t="s">
        <v>4</v>
      </c>
      <c r="B3" s="4" t="s">
        <v>5</v>
      </c>
      <c r="C3" s="4">
        <v>3380</v>
      </c>
      <c r="D3" s="10" t="s">
        <v>6</v>
      </c>
    </row>
    <row r="4" spans="1:4" ht="139.5" customHeight="1" thickBot="1" x14ac:dyDescent="0.4">
      <c r="A4" s="4" t="s">
        <v>7</v>
      </c>
      <c r="B4" s="4" t="s">
        <v>8</v>
      </c>
      <c r="C4" s="4">
        <v>1540</v>
      </c>
      <c r="D4" s="10" t="s">
        <v>9</v>
      </c>
    </row>
    <row r="5" spans="1:4" ht="110.5" customHeight="1" thickBot="1" x14ac:dyDescent="0.4">
      <c r="A5" s="4" t="s">
        <v>10</v>
      </c>
      <c r="B5" s="4" t="s">
        <v>11</v>
      </c>
      <c r="C5" s="4">
        <v>3760</v>
      </c>
      <c r="D5" s="10" t="s">
        <v>12</v>
      </c>
    </row>
    <row r="6" spans="1:4" ht="169.5" customHeight="1" thickBot="1" x14ac:dyDescent="0.4">
      <c r="A6" s="8" t="s">
        <v>13</v>
      </c>
      <c r="B6" s="5" t="s">
        <v>14</v>
      </c>
      <c r="C6" s="5">
        <v>1470</v>
      </c>
      <c r="D6" s="11" t="s">
        <v>15</v>
      </c>
    </row>
    <row r="7" spans="1:4" ht="18.5" hidden="1" thickBot="1" x14ac:dyDescent="0.4">
      <c r="A7" s="4"/>
      <c r="B7" s="3"/>
      <c r="C7" s="3"/>
      <c r="D7" s="12"/>
    </row>
    <row r="8" spans="1:4" ht="109" customHeight="1" thickBot="1" x14ac:dyDescent="0.4">
      <c r="A8" s="8" t="s">
        <v>16</v>
      </c>
      <c r="B8" s="5" t="s">
        <v>17</v>
      </c>
      <c r="C8" s="5">
        <v>2700</v>
      </c>
      <c r="D8" s="11" t="s">
        <v>18</v>
      </c>
    </row>
    <row r="9" spans="1:4" ht="18.5" hidden="1" thickBot="1" x14ac:dyDescent="0.4">
      <c r="A9" s="4"/>
      <c r="B9" s="3"/>
      <c r="C9" s="3"/>
      <c r="D9" s="12"/>
    </row>
    <row r="10" spans="1:4" ht="409.5" hidden="1" customHeight="1" thickBot="1" x14ac:dyDescent="0.4">
      <c r="A10" s="8" t="s">
        <v>19</v>
      </c>
      <c r="B10" s="5" t="s">
        <v>20</v>
      </c>
      <c r="C10" s="5" t="s">
        <v>21</v>
      </c>
      <c r="D10" s="11" t="s">
        <v>22</v>
      </c>
    </row>
    <row r="11" spans="1:4" ht="18.5" hidden="1" thickBot="1" x14ac:dyDescent="0.4">
      <c r="A11" s="4"/>
      <c r="B11" s="3"/>
      <c r="C11" s="3"/>
      <c r="D11" s="12"/>
    </row>
    <row r="12" spans="1:4" ht="193" customHeight="1" thickBot="1" x14ac:dyDescent="0.4">
      <c r="A12" s="8" t="s">
        <v>23</v>
      </c>
      <c r="B12" s="5" t="s">
        <v>24</v>
      </c>
      <c r="C12" s="5">
        <v>540</v>
      </c>
      <c r="D12" s="11" t="s">
        <v>25</v>
      </c>
    </row>
    <row r="13" spans="1:4" ht="18.5" hidden="1" thickBot="1" x14ac:dyDescent="0.4">
      <c r="A13" s="4"/>
      <c r="B13" s="3"/>
      <c r="C13" s="3"/>
      <c r="D13" s="12"/>
    </row>
    <row r="14" spans="1:4" ht="186" customHeight="1" thickBot="1" x14ac:dyDescent="0.4">
      <c r="A14" s="6" t="s">
        <v>26</v>
      </c>
      <c r="B14" s="6" t="s">
        <v>27</v>
      </c>
      <c r="C14" s="6">
        <v>4520</v>
      </c>
      <c r="D14" s="13" t="s">
        <v>28</v>
      </c>
    </row>
    <row r="15" spans="1:4" ht="219" customHeight="1" x14ac:dyDescent="0.35">
      <c r="A15" s="8" t="s">
        <v>29</v>
      </c>
      <c r="B15" s="5" t="s">
        <v>30</v>
      </c>
      <c r="C15" s="5">
        <v>390</v>
      </c>
      <c r="D15" s="11" t="s">
        <v>31</v>
      </c>
    </row>
    <row r="16" spans="1:4" ht="18.5" thickBot="1" x14ac:dyDescent="0.4">
      <c r="A16" s="4"/>
      <c r="B16" s="3"/>
      <c r="C16" s="3"/>
      <c r="D16" s="12"/>
    </row>
    <row r="17" spans="1:4" ht="201" customHeight="1" x14ac:dyDescent="0.35">
      <c r="A17" s="8" t="s">
        <v>32</v>
      </c>
      <c r="B17" s="5" t="s">
        <v>33</v>
      </c>
      <c r="C17" s="5">
        <v>400</v>
      </c>
      <c r="D17" s="11" t="s">
        <v>34</v>
      </c>
    </row>
    <row r="18" spans="1:4" ht="18.5" thickBot="1" x14ac:dyDescent="0.4">
      <c r="A18" s="4"/>
      <c r="B18" s="3"/>
      <c r="C18" s="3"/>
      <c r="D18" s="12"/>
    </row>
    <row r="19" spans="1:4" ht="200.5" customHeight="1" thickBot="1" x14ac:dyDescent="0.4">
      <c r="A19" s="8" t="s">
        <v>35</v>
      </c>
      <c r="B19" s="5" t="s">
        <v>36</v>
      </c>
      <c r="C19" s="5">
        <v>570</v>
      </c>
      <c r="D19" s="11" t="s">
        <v>37</v>
      </c>
    </row>
    <row r="20" spans="1:4" ht="18.5" hidden="1" thickBot="1" x14ac:dyDescent="0.4">
      <c r="A20" s="4"/>
      <c r="B20" s="3"/>
      <c r="C20" s="3"/>
      <c r="D20" s="12"/>
    </row>
    <row r="21" spans="1:4" ht="126.5" customHeight="1" thickBot="1" x14ac:dyDescent="0.4">
      <c r="A21" s="8" t="s">
        <v>38</v>
      </c>
      <c r="B21" s="8" t="s">
        <v>39</v>
      </c>
      <c r="C21" s="8">
        <v>130</v>
      </c>
      <c r="D21" s="14" t="s">
        <v>40</v>
      </c>
    </row>
    <row r="22" spans="1:4" ht="35" customHeight="1" thickBot="1" x14ac:dyDescent="0.4">
      <c r="A22" s="15" t="s">
        <v>42</v>
      </c>
      <c r="B22" s="16"/>
      <c r="C22" s="7">
        <f>SUM(C3:C21)</f>
        <v>19400</v>
      </c>
      <c r="D22" s="7"/>
    </row>
  </sheetData>
  <mergeCells count="2">
    <mergeCell ref="A22:B22"/>
    <mergeCell ref="A1:D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Лист9</vt:lpstr>
      <vt:lpstr>Лист2</vt:lpstr>
      <vt:lpstr>Лист3</vt:lpstr>
      <vt:lpstr>Лист4</vt:lpstr>
      <vt:lpstr>Лист1</vt:lpstr>
      <vt:lpstr>Работа с макросами</vt:lpstr>
      <vt:lpstr>Исходная таблица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2019-02-12T07:03:37Z</dcterms:created>
  <dcterms:modified xsi:type="dcterms:W3CDTF">2019-02-15T08:05:56Z</dcterms:modified>
</cp:coreProperties>
</file>